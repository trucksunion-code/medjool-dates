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موذج الأسعار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A4A12"/>
      <sz val="13"/>
    </font>
    <font>
      <b val="1"/>
      <color rgb="00FFFFFF"/>
      <sz val="11"/>
    </font>
    <font>
      <i val="1"/>
      <color rgb="007A6A58"/>
      <sz val="10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C98A2B"/>
      </patternFill>
    </fill>
    <fill>
      <patternFill patternType="solid">
        <fgColor rgb="00FFF6D8"/>
      </patternFill>
    </fill>
    <fill>
      <patternFill patternType="solid">
        <fgColor rgb="00EAF3EC"/>
      </patternFill>
    </fill>
    <fill>
      <patternFill patternType="solid">
        <fgColor rgb="00FBF6EC"/>
      </patternFill>
    </fill>
  </fills>
  <borders count="2">
    <border>
      <left/>
      <right/>
      <top/>
      <bottom/>
      <diagonal/>
    </border>
    <border>
      <left style="thin">
        <color rgb="00D9CDB8"/>
      </left>
      <right style="thin">
        <color rgb="00D9CDB8"/>
      </right>
      <top style="thin">
        <color rgb="00D9CDB8"/>
      </top>
      <bottom style="thin">
        <color rgb="00D9CDB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6" customHeight="1">
      <c r="A1" s="1" t="inlineStr">
        <is>
          <t>نموذج أسعار التمر المجدول الأردني — بالدينار الأردني (املأ خانات الدينار فقط؛ يُحسب الدولار تلقائياً)</t>
        </is>
      </c>
    </row>
    <row r="2">
      <c r="A2" s="2" t="inlineStr">
        <is>
          <t>الدرجة</t>
        </is>
      </c>
      <c r="B2" s="2" t="inlineStr">
        <is>
          <t>Grade</t>
        </is>
      </c>
      <c r="C2" s="2" t="inlineStr">
        <is>
          <t>كود الدرجة</t>
        </is>
      </c>
      <c r="D2" s="2" t="inlineStr">
        <is>
          <t>الحجم</t>
        </is>
      </c>
      <c r="E2" s="2" t="inlineStr">
        <is>
          <t>Size</t>
        </is>
      </c>
      <c r="F2" s="2" t="inlineStr">
        <is>
          <t>كود الحجم</t>
        </is>
      </c>
      <c r="G2" s="2" t="inlineStr">
        <is>
          <t>وزن الحبة</t>
        </is>
      </c>
      <c r="H2" s="2" t="inlineStr">
        <is>
          <t>حبات/كغ</t>
        </is>
      </c>
      <c r="I2" s="2" t="inlineStr">
        <is>
          <t>الطول</t>
        </is>
      </c>
      <c r="J2" s="2" t="inlineStr">
        <is>
          <t>انفصال القشرة</t>
        </is>
      </c>
      <c r="K2" s="2" t="inlineStr">
        <is>
          <t>FOB (JOD)</t>
        </is>
      </c>
      <c r="L2" s="2" t="inlineStr">
        <is>
          <t>FOB (USD)</t>
        </is>
      </c>
      <c r="M2" s="2" t="inlineStr">
        <is>
          <t>تجزئة (JOD)</t>
        </is>
      </c>
      <c r="N2" s="2" t="inlineStr">
        <is>
          <t>تجزئة (USD)</t>
        </is>
      </c>
    </row>
    <row r="3">
      <c r="A3" s="3" t="inlineStr">
        <is>
          <t>بريميوم</t>
        </is>
      </c>
      <c r="B3" s="3" t="inlineStr">
        <is>
          <t>Premium</t>
        </is>
      </c>
      <c r="C3" s="3" t="inlineStr">
        <is>
          <t>PR</t>
        </is>
      </c>
      <c r="D3" s="3" t="inlineStr">
        <is>
          <t>سوبر جامبو</t>
        </is>
      </c>
      <c r="E3" s="3" t="inlineStr">
        <is>
          <t>Super Jumbo</t>
        </is>
      </c>
      <c r="F3" s="3" t="inlineStr">
        <is>
          <t>SJ</t>
        </is>
      </c>
      <c r="G3" s="3" t="inlineStr">
        <is>
          <t>25 غ فأكثر</t>
        </is>
      </c>
      <c r="H3" s="3" t="inlineStr">
        <is>
          <t>37 – 40</t>
        </is>
      </c>
      <c r="I3" s="3" t="inlineStr">
        <is>
          <t>5.0 – 7.0 سم</t>
        </is>
      </c>
      <c r="J3" s="3" t="inlineStr">
        <is>
          <t>0 – 10 %</t>
        </is>
      </c>
      <c r="K3" s="4" t="inlineStr"/>
      <c r="L3" s="5">
        <f>IF(K3="","",ROUND(K3/0.709,2))</f>
        <v/>
      </c>
      <c r="M3" s="4" t="inlineStr"/>
      <c r="N3" s="5">
        <f>IF(M3="","",ROUND(M3/0.709,2))</f>
        <v/>
      </c>
    </row>
    <row r="4">
      <c r="A4" s="6" t="inlineStr">
        <is>
          <t>بريميوم</t>
        </is>
      </c>
      <c r="B4" s="6" t="inlineStr">
        <is>
          <t>Premium</t>
        </is>
      </c>
      <c r="C4" s="6" t="inlineStr">
        <is>
          <t>PR</t>
        </is>
      </c>
      <c r="D4" s="6" t="inlineStr">
        <is>
          <t>جامبو</t>
        </is>
      </c>
      <c r="E4" s="6" t="inlineStr">
        <is>
          <t>Jumbo</t>
        </is>
      </c>
      <c r="F4" s="6" t="inlineStr">
        <is>
          <t>J</t>
        </is>
      </c>
      <c r="G4" s="6" t="inlineStr">
        <is>
          <t>22.0 – 24.9 غ</t>
        </is>
      </c>
      <c r="H4" s="6" t="inlineStr">
        <is>
          <t>41 – 45</t>
        </is>
      </c>
      <c r="I4" s="6" t="inlineStr">
        <is>
          <t>4.5 – 5.5 سم</t>
        </is>
      </c>
      <c r="J4" s="6" t="inlineStr">
        <is>
          <t>0 – 10 %</t>
        </is>
      </c>
      <c r="K4" s="4" t="inlineStr"/>
      <c r="L4" s="5">
        <f>IF(K4="","",ROUND(K4/0.709,2))</f>
        <v/>
      </c>
      <c r="M4" s="4" t="inlineStr"/>
      <c r="N4" s="5">
        <f>IF(M4="","",ROUND(M4/0.709,2))</f>
        <v/>
      </c>
    </row>
    <row r="5">
      <c r="A5" s="3" t="inlineStr">
        <is>
          <t>بريميوم</t>
        </is>
      </c>
      <c r="B5" s="3" t="inlineStr">
        <is>
          <t>Premium</t>
        </is>
      </c>
      <c r="C5" s="3" t="inlineStr">
        <is>
          <t>PR</t>
        </is>
      </c>
      <c r="D5" s="3" t="inlineStr">
        <is>
          <t>لارج</t>
        </is>
      </c>
      <c r="E5" s="3" t="inlineStr">
        <is>
          <t>Large</t>
        </is>
      </c>
      <c r="F5" s="3" t="inlineStr">
        <is>
          <t>L</t>
        </is>
      </c>
      <c r="G5" s="3" t="inlineStr">
        <is>
          <t>17.0 – 21.9 غ</t>
        </is>
      </c>
      <c r="H5" s="3" t="inlineStr">
        <is>
          <t>46 – 58</t>
        </is>
      </c>
      <c r="I5" s="3" t="inlineStr">
        <is>
          <t>4.0 – 5.0 سم</t>
        </is>
      </c>
      <c r="J5" s="3" t="inlineStr">
        <is>
          <t>0 – 10 %</t>
        </is>
      </c>
      <c r="K5" s="4" t="inlineStr"/>
      <c r="L5" s="5">
        <f>IF(K5="","",ROUND(K5/0.709,2))</f>
        <v/>
      </c>
      <c r="M5" s="4" t="inlineStr"/>
      <c r="N5" s="5">
        <f>IF(M5="","",ROUND(M5/0.709,2))</f>
        <v/>
      </c>
    </row>
    <row r="6">
      <c r="A6" s="6" t="inlineStr">
        <is>
          <t>بريميوم</t>
        </is>
      </c>
      <c r="B6" s="6" t="inlineStr">
        <is>
          <t>Premium</t>
        </is>
      </c>
      <c r="C6" s="6" t="inlineStr">
        <is>
          <t>PR</t>
        </is>
      </c>
      <c r="D6" s="6" t="inlineStr">
        <is>
          <t>ميديوم</t>
        </is>
      </c>
      <c r="E6" s="6" t="inlineStr">
        <is>
          <t>Medium</t>
        </is>
      </c>
      <c r="F6" s="6" t="inlineStr">
        <is>
          <t>M</t>
        </is>
      </c>
      <c r="G6" s="6" t="inlineStr">
        <is>
          <t>14.0 – 16.9 غ</t>
        </is>
      </c>
      <c r="H6" s="6" t="inlineStr">
        <is>
          <t>60 – 71</t>
        </is>
      </c>
      <c r="I6" s="6" t="inlineStr">
        <is>
          <t>3.5 – 4.5 سم</t>
        </is>
      </c>
      <c r="J6" s="6" t="inlineStr">
        <is>
          <t>0 – 10 %</t>
        </is>
      </c>
      <c r="K6" s="4" t="inlineStr"/>
      <c r="L6" s="5">
        <f>IF(K6="","",ROUND(K6/0.709,2))</f>
        <v/>
      </c>
      <c r="M6" s="4" t="inlineStr"/>
      <c r="N6" s="5">
        <f>IF(M6="","",ROUND(M6/0.709,2))</f>
        <v/>
      </c>
    </row>
    <row r="7">
      <c r="A7" s="3" t="inlineStr">
        <is>
          <t>بريميوم</t>
        </is>
      </c>
      <c r="B7" s="3" t="inlineStr">
        <is>
          <t>Premium</t>
        </is>
      </c>
      <c r="C7" s="3" t="inlineStr">
        <is>
          <t>PR</t>
        </is>
      </c>
      <c r="D7" s="3" t="inlineStr">
        <is>
          <t>سمول</t>
        </is>
      </c>
      <c r="E7" s="3" t="inlineStr">
        <is>
          <t>Small</t>
        </is>
      </c>
      <c r="F7" s="3" t="inlineStr">
        <is>
          <t>S</t>
        </is>
      </c>
      <c r="G7" s="3" t="inlineStr">
        <is>
          <t>أقل من 14 غ</t>
        </is>
      </c>
      <c r="H7" s="3" t="inlineStr">
        <is>
          <t>72 – 90</t>
        </is>
      </c>
      <c r="I7" s="3" t="inlineStr">
        <is>
          <t>3.0 – 4.0 سم</t>
        </is>
      </c>
      <c r="J7" s="3" t="inlineStr">
        <is>
          <t>0 – 10 %</t>
        </is>
      </c>
      <c r="K7" s="4" t="inlineStr"/>
      <c r="L7" s="5">
        <f>IF(K7="","",ROUND(K7/0.709,2))</f>
        <v/>
      </c>
      <c r="M7" s="4" t="inlineStr"/>
      <c r="N7" s="5">
        <f>IF(M7="","",ROUND(M7/0.709,2))</f>
        <v/>
      </c>
    </row>
    <row r="8">
      <c r="A8" s="6" t="inlineStr">
        <is>
          <t>بريميوم</t>
        </is>
      </c>
      <c r="B8" s="6" t="inlineStr">
        <is>
          <t>Premium</t>
        </is>
      </c>
      <c r="C8" s="6" t="inlineStr">
        <is>
          <t>PR</t>
        </is>
      </c>
      <c r="D8" s="6" t="inlineStr">
        <is>
          <t>بيبي سمول</t>
        </is>
      </c>
      <c r="E8" s="6" t="inlineStr">
        <is>
          <t>Baby Small</t>
        </is>
      </c>
      <c r="F8" s="6" t="inlineStr">
        <is>
          <t>BS</t>
        </is>
      </c>
      <c r="G8" s="6" t="inlineStr">
        <is>
          <t>7 – 10 غ</t>
        </is>
      </c>
      <c r="H8" s="6" t="inlineStr">
        <is>
          <t>100 – 140</t>
        </is>
      </c>
      <c r="I8" s="6" t="inlineStr">
        <is>
          <t>2.5 – 3.0 سم</t>
        </is>
      </c>
      <c r="J8" s="6" t="inlineStr">
        <is>
          <t>0 – 10 %</t>
        </is>
      </c>
      <c r="K8" s="4" t="inlineStr"/>
      <c r="L8" s="5">
        <f>IF(K8="","",ROUND(K8/0.709,2))</f>
        <v/>
      </c>
      <c r="M8" s="4" t="inlineStr"/>
      <c r="N8" s="5">
        <f>IF(M8="","",ROUND(M8/0.709,2))</f>
        <v/>
      </c>
    </row>
    <row r="9">
      <c r="A9" s="3" t="inlineStr">
        <is>
          <t>ديلايت</t>
        </is>
      </c>
      <c r="B9" s="3" t="inlineStr">
        <is>
          <t>Delight</t>
        </is>
      </c>
      <c r="C9" s="3" t="inlineStr">
        <is>
          <t>DL</t>
        </is>
      </c>
      <c r="D9" s="3" t="inlineStr">
        <is>
          <t>سوبر جامبو</t>
        </is>
      </c>
      <c r="E9" s="3" t="inlineStr">
        <is>
          <t>Super Jumbo</t>
        </is>
      </c>
      <c r="F9" s="3" t="inlineStr">
        <is>
          <t>SJ</t>
        </is>
      </c>
      <c r="G9" s="3" t="inlineStr">
        <is>
          <t>25 غ فأكثر</t>
        </is>
      </c>
      <c r="H9" s="3" t="inlineStr">
        <is>
          <t>37 – 40</t>
        </is>
      </c>
      <c r="I9" s="3" t="inlineStr">
        <is>
          <t>5.0 – 7.0 سم</t>
        </is>
      </c>
      <c r="J9" s="3" t="inlineStr">
        <is>
          <t>10 – 20 %</t>
        </is>
      </c>
      <c r="K9" s="4" t="inlineStr"/>
      <c r="L9" s="5">
        <f>IF(K9="","",ROUND(K9/0.709,2))</f>
        <v/>
      </c>
      <c r="M9" s="4" t="inlineStr"/>
      <c r="N9" s="5">
        <f>IF(M9="","",ROUND(M9/0.709,2))</f>
        <v/>
      </c>
    </row>
    <row r="10">
      <c r="A10" s="6" t="inlineStr">
        <is>
          <t>ديلايت</t>
        </is>
      </c>
      <c r="B10" s="6" t="inlineStr">
        <is>
          <t>Delight</t>
        </is>
      </c>
      <c r="C10" s="6" t="inlineStr">
        <is>
          <t>DL</t>
        </is>
      </c>
      <c r="D10" s="6" t="inlineStr">
        <is>
          <t>جامبو</t>
        </is>
      </c>
      <c r="E10" s="6" t="inlineStr">
        <is>
          <t>Jumbo</t>
        </is>
      </c>
      <c r="F10" s="6" t="inlineStr">
        <is>
          <t>J</t>
        </is>
      </c>
      <c r="G10" s="6" t="inlineStr">
        <is>
          <t>22.0 – 24.9 غ</t>
        </is>
      </c>
      <c r="H10" s="6" t="inlineStr">
        <is>
          <t>41 – 45</t>
        </is>
      </c>
      <c r="I10" s="6" t="inlineStr">
        <is>
          <t>4.5 – 5.5 سم</t>
        </is>
      </c>
      <c r="J10" s="6" t="inlineStr">
        <is>
          <t>10 – 20 %</t>
        </is>
      </c>
      <c r="K10" s="4" t="inlineStr"/>
      <c r="L10" s="5">
        <f>IF(K10="","",ROUND(K10/0.709,2))</f>
        <v/>
      </c>
      <c r="M10" s="4" t="inlineStr"/>
      <c r="N10" s="5">
        <f>IF(M10="","",ROUND(M10/0.709,2))</f>
        <v/>
      </c>
    </row>
    <row r="11">
      <c r="A11" s="3" t="inlineStr">
        <is>
          <t>ديلايت</t>
        </is>
      </c>
      <c r="B11" s="3" t="inlineStr">
        <is>
          <t>Delight</t>
        </is>
      </c>
      <c r="C11" s="3" t="inlineStr">
        <is>
          <t>DL</t>
        </is>
      </c>
      <c r="D11" s="3" t="inlineStr">
        <is>
          <t>لارج</t>
        </is>
      </c>
      <c r="E11" s="3" t="inlineStr">
        <is>
          <t>Large</t>
        </is>
      </c>
      <c r="F11" s="3" t="inlineStr">
        <is>
          <t>L</t>
        </is>
      </c>
      <c r="G11" s="3" t="inlineStr">
        <is>
          <t>17.0 – 21.9 غ</t>
        </is>
      </c>
      <c r="H11" s="3" t="inlineStr">
        <is>
          <t>46 – 58</t>
        </is>
      </c>
      <c r="I11" s="3" t="inlineStr">
        <is>
          <t>4.0 – 5.0 سم</t>
        </is>
      </c>
      <c r="J11" s="3" t="inlineStr">
        <is>
          <t>10 – 20 %</t>
        </is>
      </c>
      <c r="K11" s="4" t="inlineStr"/>
      <c r="L11" s="5">
        <f>IF(K11="","",ROUND(K11/0.709,2))</f>
        <v/>
      </c>
      <c r="M11" s="4" t="inlineStr"/>
      <c r="N11" s="5">
        <f>IF(M11="","",ROUND(M11/0.709,2))</f>
        <v/>
      </c>
    </row>
    <row r="12">
      <c r="A12" s="6" t="inlineStr">
        <is>
          <t>ديلايت</t>
        </is>
      </c>
      <c r="B12" s="6" t="inlineStr">
        <is>
          <t>Delight</t>
        </is>
      </c>
      <c r="C12" s="6" t="inlineStr">
        <is>
          <t>DL</t>
        </is>
      </c>
      <c r="D12" s="6" t="inlineStr">
        <is>
          <t>ميديوم</t>
        </is>
      </c>
      <c r="E12" s="6" t="inlineStr">
        <is>
          <t>Medium</t>
        </is>
      </c>
      <c r="F12" s="6" t="inlineStr">
        <is>
          <t>M</t>
        </is>
      </c>
      <c r="G12" s="6" t="inlineStr">
        <is>
          <t>14.0 – 16.9 غ</t>
        </is>
      </c>
      <c r="H12" s="6" t="inlineStr">
        <is>
          <t>60 – 71</t>
        </is>
      </c>
      <c r="I12" s="6" t="inlineStr">
        <is>
          <t>3.5 – 4.5 سم</t>
        </is>
      </c>
      <c r="J12" s="6" t="inlineStr">
        <is>
          <t>10 – 20 %</t>
        </is>
      </c>
      <c r="K12" s="4" t="inlineStr"/>
      <c r="L12" s="5">
        <f>IF(K12="","",ROUND(K12/0.709,2))</f>
        <v/>
      </c>
      <c r="M12" s="4" t="inlineStr"/>
      <c r="N12" s="5">
        <f>IF(M12="","",ROUND(M12/0.709,2))</f>
        <v/>
      </c>
    </row>
    <row r="13">
      <c r="A13" s="3" t="inlineStr">
        <is>
          <t>ديلايت</t>
        </is>
      </c>
      <c r="B13" s="3" t="inlineStr">
        <is>
          <t>Delight</t>
        </is>
      </c>
      <c r="C13" s="3" t="inlineStr">
        <is>
          <t>DL</t>
        </is>
      </c>
      <c r="D13" s="3" t="inlineStr">
        <is>
          <t>سمول</t>
        </is>
      </c>
      <c r="E13" s="3" t="inlineStr">
        <is>
          <t>Small</t>
        </is>
      </c>
      <c r="F13" s="3" t="inlineStr">
        <is>
          <t>S</t>
        </is>
      </c>
      <c r="G13" s="3" t="inlineStr">
        <is>
          <t>أقل من 14 غ</t>
        </is>
      </c>
      <c r="H13" s="3" t="inlineStr">
        <is>
          <t>72 – 90</t>
        </is>
      </c>
      <c r="I13" s="3" t="inlineStr">
        <is>
          <t>3.0 – 4.0 سم</t>
        </is>
      </c>
      <c r="J13" s="3" t="inlineStr">
        <is>
          <t>10 – 20 %</t>
        </is>
      </c>
      <c r="K13" s="4" t="inlineStr"/>
      <c r="L13" s="5">
        <f>IF(K13="","",ROUND(K13/0.709,2))</f>
        <v/>
      </c>
      <c r="M13" s="4" t="inlineStr"/>
      <c r="N13" s="5">
        <f>IF(M13="","",ROUND(M13/0.709,2))</f>
        <v/>
      </c>
    </row>
    <row r="14">
      <c r="A14" s="6" t="inlineStr">
        <is>
          <t>ديلايت</t>
        </is>
      </c>
      <c r="B14" s="6" t="inlineStr">
        <is>
          <t>Delight</t>
        </is>
      </c>
      <c r="C14" s="6" t="inlineStr">
        <is>
          <t>DL</t>
        </is>
      </c>
      <c r="D14" s="6" t="inlineStr">
        <is>
          <t>بيبي سمول</t>
        </is>
      </c>
      <c r="E14" s="6" t="inlineStr">
        <is>
          <t>Baby Small</t>
        </is>
      </c>
      <c r="F14" s="6" t="inlineStr">
        <is>
          <t>BS</t>
        </is>
      </c>
      <c r="G14" s="6" t="inlineStr">
        <is>
          <t>7 – 10 غ</t>
        </is>
      </c>
      <c r="H14" s="6" t="inlineStr">
        <is>
          <t>100 – 140</t>
        </is>
      </c>
      <c r="I14" s="6" t="inlineStr">
        <is>
          <t>2.5 – 3.0 سم</t>
        </is>
      </c>
      <c r="J14" s="6" t="inlineStr">
        <is>
          <t>10 – 20 %</t>
        </is>
      </c>
      <c r="K14" s="4" t="inlineStr"/>
      <c r="L14" s="5">
        <f>IF(K14="","",ROUND(K14/0.709,2))</f>
        <v/>
      </c>
      <c r="M14" s="4" t="inlineStr"/>
      <c r="N14" s="5">
        <f>IF(M14="","",ROUND(M14/0.709,2))</f>
        <v/>
      </c>
    </row>
    <row r="15">
      <c r="A15" s="3" t="inlineStr">
        <is>
          <t>كلاسيك</t>
        </is>
      </c>
      <c r="B15" s="3" t="inlineStr">
        <is>
          <t>Classic</t>
        </is>
      </c>
      <c r="C15" s="3" t="inlineStr">
        <is>
          <t>CL</t>
        </is>
      </c>
      <c r="D15" s="3" t="inlineStr">
        <is>
          <t>سوبر جامبو</t>
        </is>
      </c>
      <c r="E15" s="3" t="inlineStr">
        <is>
          <t>Super Jumbo</t>
        </is>
      </c>
      <c r="F15" s="3" t="inlineStr">
        <is>
          <t>SJ</t>
        </is>
      </c>
      <c r="G15" s="3" t="inlineStr">
        <is>
          <t>25 غ فأكثر</t>
        </is>
      </c>
      <c r="H15" s="3" t="inlineStr">
        <is>
          <t>37 – 40</t>
        </is>
      </c>
      <c r="I15" s="3" t="inlineStr">
        <is>
          <t>5.0 – 7.0 سم</t>
        </is>
      </c>
      <c r="J15" s="3" t="inlineStr">
        <is>
          <t>20 – 30 %</t>
        </is>
      </c>
      <c r="K15" s="4" t="inlineStr"/>
      <c r="L15" s="5">
        <f>IF(K15="","",ROUND(K15/0.709,2))</f>
        <v/>
      </c>
      <c r="M15" s="4" t="inlineStr"/>
      <c r="N15" s="5">
        <f>IF(M15="","",ROUND(M15/0.709,2))</f>
        <v/>
      </c>
    </row>
    <row r="16">
      <c r="A16" s="6" t="inlineStr">
        <is>
          <t>كلاسيك</t>
        </is>
      </c>
      <c r="B16" s="6" t="inlineStr">
        <is>
          <t>Classic</t>
        </is>
      </c>
      <c r="C16" s="6" t="inlineStr">
        <is>
          <t>CL</t>
        </is>
      </c>
      <c r="D16" s="6" t="inlineStr">
        <is>
          <t>جامبو</t>
        </is>
      </c>
      <c r="E16" s="6" t="inlineStr">
        <is>
          <t>Jumbo</t>
        </is>
      </c>
      <c r="F16" s="6" t="inlineStr">
        <is>
          <t>J</t>
        </is>
      </c>
      <c r="G16" s="6" t="inlineStr">
        <is>
          <t>22.0 – 24.9 غ</t>
        </is>
      </c>
      <c r="H16" s="6" t="inlineStr">
        <is>
          <t>41 – 45</t>
        </is>
      </c>
      <c r="I16" s="6" t="inlineStr">
        <is>
          <t>4.5 – 5.5 سم</t>
        </is>
      </c>
      <c r="J16" s="6" t="inlineStr">
        <is>
          <t>20 – 30 %</t>
        </is>
      </c>
      <c r="K16" s="4" t="inlineStr"/>
      <c r="L16" s="5">
        <f>IF(K16="","",ROUND(K16/0.709,2))</f>
        <v/>
      </c>
      <c r="M16" s="4" t="inlineStr"/>
      <c r="N16" s="5">
        <f>IF(M16="","",ROUND(M16/0.709,2))</f>
        <v/>
      </c>
    </row>
    <row r="17">
      <c r="A17" s="3" t="inlineStr">
        <is>
          <t>كلاسيك</t>
        </is>
      </c>
      <c r="B17" s="3" t="inlineStr">
        <is>
          <t>Classic</t>
        </is>
      </c>
      <c r="C17" s="3" t="inlineStr">
        <is>
          <t>CL</t>
        </is>
      </c>
      <c r="D17" s="3" t="inlineStr">
        <is>
          <t>لارج</t>
        </is>
      </c>
      <c r="E17" s="3" t="inlineStr">
        <is>
          <t>Large</t>
        </is>
      </c>
      <c r="F17" s="3" t="inlineStr">
        <is>
          <t>L</t>
        </is>
      </c>
      <c r="G17" s="3" t="inlineStr">
        <is>
          <t>17.0 – 21.9 غ</t>
        </is>
      </c>
      <c r="H17" s="3" t="inlineStr">
        <is>
          <t>46 – 58</t>
        </is>
      </c>
      <c r="I17" s="3" t="inlineStr">
        <is>
          <t>4.0 – 5.0 سم</t>
        </is>
      </c>
      <c r="J17" s="3" t="inlineStr">
        <is>
          <t>20 – 30 %</t>
        </is>
      </c>
      <c r="K17" s="4" t="inlineStr"/>
      <c r="L17" s="5">
        <f>IF(K17="","",ROUND(K17/0.709,2))</f>
        <v/>
      </c>
      <c r="M17" s="4" t="inlineStr"/>
      <c r="N17" s="5">
        <f>IF(M17="","",ROUND(M17/0.709,2))</f>
        <v/>
      </c>
    </row>
    <row r="18">
      <c r="A18" s="6" t="inlineStr">
        <is>
          <t>كلاسيك</t>
        </is>
      </c>
      <c r="B18" s="6" t="inlineStr">
        <is>
          <t>Classic</t>
        </is>
      </c>
      <c r="C18" s="6" t="inlineStr">
        <is>
          <t>CL</t>
        </is>
      </c>
      <c r="D18" s="6" t="inlineStr">
        <is>
          <t>ميديوم</t>
        </is>
      </c>
      <c r="E18" s="6" t="inlineStr">
        <is>
          <t>Medium</t>
        </is>
      </c>
      <c r="F18" s="6" t="inlineStr">
        <is>
          <t>M</t>
        </is>
      </c>
      <c r="G18" s="6" t="inlineStr">
        <is>
          <t>14.0 – 16.9 غ</t>
        </is>
      </c>
      <c r="H18" s="6" t="inlineStr">
        <is>
          <t>60 – 71</t>
        </is>
      </c>
      <c r="I18" s="6" t="inlineStr">
        <is>
          <t>3.5 – 4.5 سم</t>
        </is>
      </c>
      <c r="J18" s="6" t="inlineStr">
        <is>
          <t>20 – 30 %</t>
        </is>
      </c>
      <c r="K18" s="4" t="inlineStr"/>
      <c r="L18" s="5">
        <f>IF(K18="","",ROUND(K18/0.709,2))</f>
        <v/>
      </c>
      <c r="M18" s="4" t="inlineStr"/>
      <c r="N18" s="5">
        <f>IF(M18="","",ROUND(M18/0.709,2))</f>
        <v/>
      </c>
    </row>
    <row r="19">
      <c r="A19" s="3" t="inlineStr">
        <is>
          <t>كلاسيك</t>
        </is>
      </c>
      <c r="B19" s="3" t="inlineStr">
        <is>
          <t>Classic</t>
        </is>
      </c>
      <c r="C19" s="3" t="inlineStr">
        <is>
          <t>CL</t>
        </is>
      </c>
      <c r="D19" s="3" t="inlineStr">
        <is>
          <t>سمول</t>
        </is>
      </c>
      <c r="E19" s="3" t="inlineStr">
        <is>
          <t>Small</t>
        </is>
      </c>
      <c r="F19" s="3" t="inlineStr">
        <is>
          <t>S</t>
        </is>
      </c>
      <c r="G19" s="3" t="inlineStr">
        <is>
          <t>أقل من 14 غ</t>
        </is>
      </c>
      <c r="H19" s="3" t="inlineStr">
        <is>
          <t>72 – 90</t>
        </is>
      </c>
      <c r="I19" s="3" t="inlineStr">
        <is>
          <t>3.0 – 4.0 سم</t>
        </is>
      </c>
      <c r="J19" s="3" t="inlineStr">
        <is>
          <t>20 – 30 %</t>
        </is>
      </c>
      <c r="K19" s="4" t="inlineStr"/>
      <c r="L19" s="5">
        <f>IF(K19="","",ROUND(K19/0.709,2))</f>
        <v/>
      </c>
      <c r="M19" s="4" t="inlineStr"/>
      <c r="N19" s="5">
        <f>IF(M19="","",ROUND(M19/0.709,2))</f>
        <v/>
      </c>
    </row>
    <row r="20">
      <c r="A20" s="6" t="inlineStr">
        <is>
          <t>كلاسيك</t>
        </is>
      </c>
      <c r="B20" s="6" t="inlineStr">
        <is>
          <t>Classic</t>
        </is>
      </c>
      <c r="C20" s="6" t="inlineStr">
        <is>
          <t>CL</t>
        </is>
      </c>
      <c r="D20" s="6" t="inlineStr">
        <is>
          <t>بيبي سمول</t>
        </is>
      </c>
      <c r="E20" s="6" t="inlineStr">
        <is>
          <t>Baby Small</t>
        </is>
      </c>
      <c r="F20" s="6" t="inlineStr">
        <is>
          <t>BS</t>
        </is>
      </c>
      <c r="G20" s="6" t="inlineStr">
        <is>
          <t>7 – 10 غ</t>
        </is>
      </c>
      <c r="H20" s="6" t="inlineStr">
        <is>
          <t>100 – 140</t>
        </is>
      </c>
      <c r="I20" s="6" t="inlineStr">
        <is>
          <t>2.5 – 3.0 سم</t>
        </is>
      </c>
      <c r="J20" s="6" t="inlineStr">
        <is>
          <t>20 – 30 %</t>
        </is>
      </c>
      <c r="K20" s="4" t="inlineStr"/>
      <c r="L20" s="5">
        <f>IF(K20="","",ROUND(K20/0.709,2))</f>
        <v/>
      </c>
      <c r="M20" s="4" t="inlineStr"/>
      <c r="N20" s="5">
        <f>IF(M20="","",ROUND(M20/0.709,2))</f>
        <v/>
      </c>
    </row>
    <row r="21">
      <c r="A21" s="3" t="inlineStr">
        <is>
          <t>ستاندرد</t>
        </is>
      </c>
      <c r="B21" s="3" t="inlineStr">
        <is>
          <t>Standard</t>
        </is>
      </c>
      <c r="C21" s="3" t="inlineStr">
        <is>
          <t>ST</t>
        </is>
      </c>
      <c r="D21" s="3" t="inlineStr">
        <is>
          <t>سوبر جامبو</t>
        </is>
      </c>
      <c r="E21" s="3" t="inlineStr">
        <is>
          <t>Super Jumbo</t>
        </is>
      </c>
      <c r="F21" s="3" t="inlineStr">
        <is>
          <t>SJ</t>
        </is>
      </c>
      <c r="G21" s="3" t="inlineStr">
        <is>
          <t>25 غ فأكثر</t>
        </is>
      </c>
      <c r="H21" s="3" t="inlineStr">
        <is>
          <t>37 – 40</t>
        </is>
      </c>
      <c r="I21" s="3" t="inlineStr">
        <is>
          <t>5.0 – 7.0 سم</t>
        </is>
      </c>
      <c r="J21" s="3" t="inlineStr">
        <is>
          <t>أكثر من 30 %</t>
        </is>
      </c>
      <c r="K21" s="4" t="inlineStr"/>
      <c r="L21" s="5">
        <f>IF(K21="","",ROUND(K21/0.709,2))</f>
        <v/>
      </c>
      <c r="M21" s="4" t="inlineStr"/>
      <c r="N21" s="5">
        <f>IF(M21="","",ROUND(M21/0.709,2))</f>
        <v/>
      </c>
    </row>
    <row r="22">
      <c r="A22" s="6" t="inlineStr">
        <is>
          <t>ستاندرد</t>
        </is>
      </c>
      <c r="B22" s="6" t="inlineStr">
        <is>
          <t>Standard</t>
        </is>
      </c>
      <c r="C22" s="6" t="inlineStr">
        <is>
          <t>ST</t>
        </is>
      </c>
      <c r="D22" s="6" t="inlineStr">
        <is>
          <t>جامبو</t>
        </is>
      </c>
      <c r="E22" s="6" t="inlineStr">
        <is>
          <t>Jumbo</t>
        </is>
      </c>
      <c r="F22" s="6" t="inlineStr">
        <is>
          <t>J</t>
        </is>
      </c>
      <c r="G22" s="6" t="inlineStr">
        <is>
          <t>22.0 – 24.9 غ</t>
        </is>
      </c>
      <c r="H22" s="6" t="inlineStr">
        <is>
          <t>41 – 45</t>
        </is>
      </c>
      <c r="I22" s="6" t="inlineStr">
        <is>
          <t>4.5 – 5.5 سم</t>
        </is>
      </c>
      <c r="J22" s="6" t="inlineStr">
        <is>
          <t>أكثر من 30 %</t>
        </is>
      </c>
      <c r="K22" s="4" t="inlineStr"/>
      <c r="L22" s="5">
        <f>IF(K22="","",ROUND(K22/0.709,2))</f>
        <v/>
      </c>
      <c r="M22" s="4" t="inlineStr"/>
      <c r="N22" s="5">
        <f>IF(M22="","",ROUND(M22/0.709,2))</f>
        <v/>
      </c>
    </row>
    <row r="23">
      <c r="A23" s="3" t="inlineStr">
        <is>
          <t>ستاندرد</t>
        </is>
      </c>
      <c r="B23" s="3" t="inlineStr">
        <is>
          <t>Standard</t>
        </is>
      </c>
      <c r="C23" s="3" t="inlineStr">
        <is>
          <t>ST</t>
        </is>
      </c>
      <c r="D23" s="3" t="inlineStr">
        <is>
          <t>لارج</t>
        </is>
      </c>
      <c r="E23" s="3" t="inlineStr">
        <is>
          <t>Large</t>
        </is>
      </c>
      <c r="F23" s="3" t="inlineStr">
        <is>
          <t>L</t>
        </is>
      </c>
      <c r="G23" s="3" t="inlineStr">
        <is>
          <t>17.0 – 21.9 غ</t>
        </is>
      </c>
      <c r="H23" s="3" t="inlineStr">
        <is>
          <t>46 – 58</t>
        </is>
      </c>
      <c r="I23" s="3" t="inlineStr">
        <is>
          <t>4.0 – 5.0 سم</t>
        </is>
      </c>
      <c r="J23" s="3" t="inlineStr">
        <is>
          <t>أكثر من 30 %</t>
        </is>
      </c>
      <c r="K23" s="4" t="inlineStr"/>
      <c r="L23" s="5">
        <f>IF(K23="","",ROUND(K23/0.709,2))</f>
        <v/>
      </c>
      <c r="M23" s="4" t="inlineStr"/>
      <c r="N23" s="5">
        <f>IF(M23="","",ROUND(M23/0.709,2))</f>
        <v/>
      </c>
    </row>
    <row r="24">
      <c r="A24" s="6" t="inlineStr">
        <is>
          <t>ستاندرد</t>
        </is>
      </c>
      <c r="B24" s="6" t="inlineStr">
        <is>
          <t>Standard</t>
        </is>
      </c>
      <c r="C24" s="6" t="inlineStr">
        <is>
          <t>ST</t>
        </is>
      </c>
      <c r="D24" s="6" t="inlineStr">
        <is>
          <t>ميديوم</t>
        </is>
      </c>
      <c r="E24" s="6" t="inlineStr">
        <is>
          <t>Medium</t>
        </is>
      </c>
      <c r="F24" s="6" t="inlineStr">
        <is>
          <t>M</t>
        </is>
      </c>
      <c r="G24" s="6" t="inlineStr">
        <is>
          <t>14.0 – 16.9 غ</t>
        </is>
      </c>
      <c r="H24" s="6" t="inlineStr">
        <is>
          <t>60 – 71</t>
        </is>
      </c>
      <c r="I24" s="6" t="inlineStr">
        <is>
          <t>3.5 – 4.5 سم</t>
        </is>
      </c>
      <c r="J24" s="6" t="inlineStr">
        <is>
          <t>أكثر من 30 %</t>
        </is>
      </c>
      <c r="K24" s="4" t="inlineStr"/>
      <c r="L24" s="5">
        <f>IF(K24="","",ROUND(K24/0.709,2))</f>
        <v/>
      </c>
      <c r="M24" s="4" t="inlineStr"/>
      <c r="N24" s="5">
        <f>IF(M24="","",ROUND(M24/0.709,2))</f>
        <v/>
      </c>
    </row>
    <row r="25">
      <c r="A25" s="3" t="inlineStr">
        <is>
          <t>ستاندرد</t>
        </is>
      </c>
      <c r="B25" s="3" t="inlineStr">
        <is>
          <t>Standard</t>
        </is>
      </c>
      <c r="C25" s="3" t="inlineStr">
        <is>
          <t>ST</t>
        </is>
      </c>
      <c r="D25" s="3" t="inlineStr">
        <is>
          <t>سمول</t>
        </is>
      </c>
      <c r="E25" s="3" t="inlineStr">
        <is>
          <t>Small</t>
        </is>
      </c>
      <c r="F25" s="3" t="inlineStr">
        <is>
          <t>S</t>
        </is>
      </c>
      <c r="G25" s="3" t="inlineStr">
        <is>
          <t>أقل من 14 غ</t>
        </is>
      </c>
      <c r="H25" s="3" t="inlineStr">
        <is>
          <t>72 – 90</t>
        </is>
      </c>
      <c r="I25" s="3" t="inlineStr">
        <is>
          <t>3.0 – 4.0 سم</t>
        </is>
      </c>
      <c r="J25" s="3" t="inlineStr">
        <is>
          <t>أكثر من 30 %</t>
        </is>
      </c>
      <c r="K25" s="4" t="inlineStr"/>
      <c r="L25" s="5">
        <f>IF(K25="","",ROUND(K25/0.709,2))</f>
        <v/>
      </c>
      <c r="M25" s="4" t="inlineStr"/>
      <c r="N25" s="5">
        <f>IF(M25="","",ROUND(M25/0.709,2))</f>
        <v/>
      </c>
    </row>
    <row r="26">
      <c r="A26" s="6" t="inlineStr">
        <is>
          <t>ستاندرد</t>
        </is>
      </c>
      <c r="B26" s="6" t="inlineStr">
        <is>
          <t>Standard</t>
        </is>
      </c>
      <c r="C26" s="6" t="inlineStr">
        <is>
          <t>ST</t>
        </is>
      </c>
      <c r="D26" s="6" t="inlineStr">
        <is>
          <t>بيبي سمول</t>
        </is>
      </c>
      <c r="E26" s="6" t="inlineStr">
        <is>
          <t>Baby Small</t>
        </is>
      </c>
      <c r="F26" s="6" t="inlineStr">
        <is>
          <t>BS</t>
        </is>
      </c>
      <c r="G26" s="6" t="inlineStr">
        <is>
          <t>7 – 10 غ</t>
        </is>
      </c>
      <c r="H26" s="6" t="inlineStr">
        <is>
          <t>100 – 140</t>
        </is>
      </c>
      <c r="I26" s="6" t="inlineStr">
        <is>
          <t>2.5 – 3.0 سم</t>
        </is>
      </c>
      <c r="J26" s="6" t="inlineStr">
        <is>
          <t>أكثر من 30 %</t>
        </is>
      </c>
      <c r="K26" s="4" t="inlineStr"/>
      <c r="L26" s="5">
        <f>IF(K26="","",ROUND(K26/0.709,2))</f>
        <v/>
      </c>
      <c r="M26" s="4" t="inlineStr"/>
      <c r="N26" s="5">
        <f>IF(M26="","",ROUND(M26/0.709,2))</f>
        <v/>
      </c>
    </row>
    <row r="28" ht="40" customHeight="1">
      <c r="A28" s="7" t="inlineStr">
        <is>
          <t>ملاحظة: اكتب الأسعار بالدينار الأردني (FOB JOD وتجزئة JOD). يُحسب الدولار تلقائياً = الدينار ÷ 0.709 (× 1.4104). اترك خانات الدولار فارغة للحساب التلقائي، أو اكتب قيمتك مباشرةً. عند الإرجاع سأعتمد الدينار وأحسب الدولار.</t>
        </is>
      </c>
    </row>
  </sheetData>
  <mergeCells count="2">
    <mergeCell ref="A28:N28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8" t="inlineStr">
        <is>
          <t>تعليمات تعبئة النموذج (بالدينار الأردني):</t>
        </is>
      </c>
    </row>
    <row r="2">
      <c r="A2" s="9" t="inlineStr">
        <is>
          <t>1) العمود K (FOB JOD) والعمود M (تجزئة JOD): اكتب السعر بالدينار الأردني.</t>
        </is>
      </c>
    </row>
    <row r="3">
      <c r="A3" s="9" t="inlineStr">
        <is>
          <t>2) العمود L (FOB USD) والعمود N (تجزئة USD): يُحسبان تلقائياً = الدينار ÷ 0.709 (× 1.4104).</t>
        </is>
      </c>
    </row>
    <row r="4">
      <c r="A4" s="9" t="inlineStr">
        <is>
          <t xml:space="preserve">   يمكنك تركهما فارغين للحساب التلقائي، أو كتابة قيمة الدولار مباشرةً لتجاوز الحساب.</t>
        </is>
      </c>
    </row>
    <row r="5">
      <c r="A5" s="9" t="inlineStr">
        <is>
          <t>3) الأعمدة A–J (الدرجة، الحجم، الوزن، العدد، الطول، انفصال القشرة) ثابتة ولا تُعدّل.</t>
        </is>
      </c>
    </row>
    <row r="6">
      <c r="A6" s="9" t="inlineStr">
        <is>
          <t>4) الأصناف: بريميوم / ديلايت / كلاسيك / ستاندرد. الأحجام: سوبر جامبو/جامبو/لارج/ميديوم/سمول/بيبي سمول.</t>
        </is>
      </c>
    </row>
    <row r="7">
      <c r="A7" s="9" t="inlineStr">
        <is>
          <t>5) بعد التعبئة احفظ الملف وأعده ليتم اعتماد الأسعار بالدينار وحساب الدولار في الموقع.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2026-09-13T20:32:42Z</dcterms:created>
  <dcterms:modified xmlns:dcterms="http://purl.org/dc/terms/" xmlns:xsi="http://www.w3.org/2001/XMLSchema-instance" xsi:type="dcterms:W3CDTF">2026-09-13T20:32:42Z</dcterms:modified>
</cp:coreProperties>
</file>